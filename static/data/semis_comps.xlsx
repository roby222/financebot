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s" sheetId="1" r:id="rId1"/>
    <sheet name="Notes" sheetId="2" r:id="rId2"/>
  </sheets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x&quot;"/>
    <numFmt numFmtId="166" formatCode="#,##0"/>
    <numFmt numFmtId="167" formatCode="#,##0.0"/>
    <numFmt numFmtId="168" formatCode="$0.00"/>
  </numFmts>
  <fonts count="7"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color rgb="FF1F497D"/>
      <name val="Calibri"/>
    </font>
    <font>
      <sz val="9"/>
      <color rgb="FF595959"/>
      <name val="Calibri"/>
    </font>
    <font>
      <b/>
      <sz val="10"/>
      <color rgb="FF7F3F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2F7FB"/>
      </patternFill>
    </fill>
    <fill>
      <patternFill patternType="solid">
        <fgColor rgb="FFFFE699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2E75B6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>
      <alignment horizontal="center" vertical="center"/>
    </xf>
    <xf numFmtId="166" fontId="4" fillId="3" borderId="1" xfId="0" applyFont="1" applyFill="1" applyBorder="1">
      <alignment horizontal="right" vertical="center"/>
    </xf>
    <xf numFmtId="0" fontId="2" fillId="4" borderId="0" xfId="0" applyFont="1" applyFill="1">
      <alignment horizontal="center" vertical="center"/>
    </xf>
    <xf numFmtId="0" fontId="3" fillId="5" borderId="2" xfId="0" applyFont="1" applyFill="1" applyBorder="1">
      <alignment horizontal="center" vertical="center" wrapText="1"/>
    </xf>
    <xf numFmtId="0" fontId="5" fillId="5" borderId="0" xfId="0" applyFont="1" applyFill="1">
      <alignment horizontal="center" vertical="center"/>
    </xf>
    <xf numFmtId="0" fontId="6" fillId="8" borderId="0" xfId="0" applyFont="1" applyFill="1">
      <alignment horizontal="center" vertical="center" wrapText="1"/>
    </xf>
    <xf numFmtId="164" fontId="0" fillId="0" borderId="1" xfId="0" applyBorder="1">
      <alignment horizontal="right" vertical="center"/>
    </xf>
    <xf numFmtId="164" fontId="4" fillId="3" borderId="1" xfId="0" applyFont="1" applyFill="1" applyBorder="1">
      <alignment horizontal="right" vertical="center"/>
    </xf>
    <xf numFmtId="165" fontId="0" fillId="0" borderId="1" xfId="0" applyBorder="1">
      <alignment horizontal="right" vertical="center"/>
    </xf>
    <xf numFmtId="165" fontId="4" fillId="3" borderId="1" xfId="0" applyFont="1" applyFill="1" applyBorder="1">
      <alignment horizontal="right" vertical="center"/>
    </xf>
    <xf numFmtId="166" fontId="0" fillId="0" borderId="1" xfId="0" applyBorder="1">
      <alignment horizontal="right" vertical="center"/>
    </xf>
    <xf numFmtId="167" fontId="0" fillId="0" borderId="1" xfId="0" applyBorder="1">
      <alignment horizontal="right" vertical="center"/>
    </xf>
    <xf numFmtId="167" fontId="4" fillId="3" borderId="1" xfId="0" applyFont="1" applyFill="1" applyBorder="1">
      <alignment horizontal="right" vertical="center"/>
    </xf>
    <xf numFmtId="168" fontId="4" fillId="3" borderId="1" xfId="0" applyFont="1" applyFill="1" applyBorder="1">
      <alignment horizontal="right" vertical="center"/>
    </xf>
    <xf numFmtId="168" fontId="0" fillId="0" borderId="1" xfId="0" applyBorder="1">
      <alignment horizontal="right" vertical="center"/>
    </xf>
    <xf numFmtId="164" fontId="0" fillId="6" borderId="1" xfId="0" applyFill="1" applyBorder="1">
      <alignment horizontal="right" vertical="center"/>
    </xf>
    <xf numFmtId="165" fontId="0" fillId="6" borderId="1" xfId="0" applyFill="1" applyBorder="1">
      <alignment horizontal="right" vertical="center"/>
    </xf>
    <xf numFmtId="166" fontId="0" fillId="6" borderId="1" xfId="0" applyFill="1" applyBorder="1">
      <alignment horizontal="right" vertical="center"/>
    </xf>
    <xf numFmtId="167" fontId="0" fillId="6" borderId="1" xfId="0" applyFill="1" applyBorder="1">
      <alignment horizontal="right" vertical="center"/>
    </xf>
    <xf numFmtId="168" fontId="0" fillId="6" borderId="1" xfId="0" applyFill="1" applyBorder="1">
      <alignment horizontal="right" vertical="center"/>
    </xf>
    <xf numFmtId="0" fontId="3" fillId="5" borderId="2" xfId="0" applyFont="1" applyFill="1" applyBorder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  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8" xSplit="2" topLeftCell="C9" activePane="bottomRight" state="frozen"/>
    </sheetView>
  </sheetViews>
  <cols>
    <col min="1" max="1" width="6" customWidth="1"/>
    <col min="2" max="2" width="30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</cols>
  <sheetData>
    <row r="1" ht="22" customHeight="1">
      <c r="A1" s="1" t="inlineStr">
        <is>
          <t>SEMICONDUCTOR / AI PEER COMPS — CYCLE POSITIONING &amp; RELATIVE VALUATION</t>
        </is>
      </c>
    </row>
    <row r="2" ht="16" customHeight="1">
      <c r="A2" s="1" t="inlineStr">
        <is>
          <t>Equity Research Note  |  AI Semiconductor Sector  |  Analysis Date: 2026-05-13</t>
        </is>
      </c>
    </row>
    <row r="3" ht="16" customHeight="1">
      <c r="A3" s="6" t="inlineStr">
        <is>
          <t>Units: USD Millions unless noted  |  Peer Set: NVDA, AMD, TSM, ASML, AMAT, KLAC, MU  |  [UNSOURCED] — All figures placeholder; replace before use</t>
        </is>
      </c>
    </row>
    <row r="4" ht="20" customHeight="1">
      <c r="A4" s="6" t="inlineStr">
        <is>
          <t>WARNING — ALL FIGURES ARE [UNSOURCED] PLACEHOLDERS. Replace with FactSet / CapIQ live pull before publication. See Notes tab.</t>
        </is>
      </c>
    </row>
    <row r="5" ht="6" customHeight="1"/>
    <row r="6" ht="18" customHeight="1">
      <c r="A6" s="3" t="inlineStr">
        <is>
          <t>SECTION 1 — OPERATING STATISTICS</t>
        </is>
      </c>
    </row>
    <row r="7" ht="30" customHeight="1">
      <c r="A7" s="4" t="inlineStr">
        <is>
          <t>#</t>
        </is>
      </c>
      <c r="B7" s="4" t="inlineStr">
        <is>
          <t>Company / Ticker</t>
        </is>
      </c>
      <c r="C7" s="4" t="inlineStr">
        <is>
          <t>LTM Revenue (USD Mn)</t>
        </is>
      </c>
      <c r="D7" s="4" t="inlineStr">
        <is>
          <t>NTM Revenue (USD Mn)</t>
        </is>
      </c>
      <c r="E7" s="4" t="inlineStr">
        <is>
          <t>Rev Growth YoY %</t>
        </is>
      </c>
      <c r="F7" s="4" t="inlineStr">
        <is>
          <t>Gross Margin %</t>
        </is>
      </c>
      <c r="G7" s="4" t="inlineStr">
        <is>
          <t>LTM EBITDA (USD Mn)</t>
        </is>
      </c>
      <c r="H7" s="4" t="inlineStr">
        <is>
          <t>EBITDA Margin %</t>
        </is>
      </c>
      <c r="I7" s="4" t="inlineStr">
        <is>
          <t>R&amp;D % Rev</t>
        </is>
      </c>
      <c r="J7" s="4" t="inlineStr">
        <is>
          <t>CapEx % Rev</t>
        </is>
      </c>
      <c r="K7" s="4" t="inlineStr">
        <is>
          <t>—</t>
        </is>
      </c>
      <c r="L7" s="4" t="inlineStr">
        <is>
          <t>—</t>
        </is>
      </c>
    </row>
    <row r="8" ht="13" customHeight="1">
      <c r="A8" s="5" t="inlineStr">
        <is>
          <t/>
        </is>
      </c>
      <c r="B8" s="5" t="inlineStr">
        <is>
          <t/>
        </is>
      </c>
      <c r="C8" s="5" t="inlineStr">
        <is>
          <t>USD Mn</t>
        </is>
      </c>
      <c r="D8" s="5" t="inlineStr">
        <is>
          <t>USD Mn</t>
        </is>
      </c>
      <c r="E8" s="5" t="inlineStr">
        <is>
          <t>%</t>
        </is>
      </c>
      <c r="F8" s="5" t="inlineStr">
        <is>
          <t>%</t>
        </is>
      </c>
      <c r="G8" s="5" t="inlineStr">
        <is>
          <t>USD Mn</t>
        </is>
      </c>
      <c r="H8" s="5" t="inlineStr">
        <is>
          <t>%</t>
        </is>
      </c>
      <c r="I8" s="5" t="inlineStr">
        <is>
          <t>%</t>
        </is>
      </c>
      <c r="J8" s="5" t="inlineStr">
        <is>
          <t>%</t>
        </is>
      </c>
      <c r="K8" s="5" t="inlineStr">
        <is>
          <t/>
        </is>
      </c>
      <c r="L8" s="5" t="inlineStr">
        <is>
          <t/>
        </is>
      </c>
    </row>
    <row r="9" ht="17" customHeight="1">
      <c r="A9" s="0">
        <v>1</v>
      </c>
      <c r="B9" s="21" t="inlineStr">
        <is>
          <t>NVIDIA Corp (NVDA)</t>
        </is>
      </c>
      <c r="C9" s="2">
        <v>130000</v>
      </c>
      <c r="D9" s="2">
        <v>195000</v>
      </c>
      <c r="F9" s="8">
        <v>0.748</v>
      </c>
      <c r="G9" s="2">
        <v>80600</v>
      </c>
      <c r="I9" s="8">
        <v>0.083</v>
      </c>
      <c r="J9" s="8">
        <v>0.018</v>
      </c>
      <c r="E9" s="7">
        <f>(D9-C9)/C9</f>
      </c>
      <c r="H9" s="7">
        <f>G9/C9</f>
      </c>
    </row>
    <row r="10" ht="17" customHeight="1">
      <c r="A10" s="0">
        <v>2</v>
      </c>
      <c r="B10" s="21" t="inlineStr">
        <is>
          <t>Advanced Micro Devices (AMD)</t>
        </is>
      </c>
      <c r="C10" s="2">
        <v>25800</v>
      </c>
      <c r="D10" s="2">
        <v>33500</v>
      </c>
      <c r="F10" s="8">
        <v>0.512</v>
      </c>
      <c r="G10" s="2">
        <v>6200</v>
      </c>
      <c r="I10" s="8">
        <v>0.218</v>
      </c>
      <c r="J10" s="8">
        <v>0.028</v>
      </c>
      <c r="E10" s="7">
        <f>(D10-C10)/C10</f>
      </c>
      <c r="H10" s="7">
        <f>G10/C10</f>
      </c>
    </row>
    <row r="11" ht="17" customHeight="1">
      <c r="A11" s="0">
        <v>3</v>
      </c>
      <c r="B11" s="21" t="inlineStr">
        <is>
          <t>Taiwan Semiconductor Mfg (TSM)</t>
        </is>
      </c>
      <c r="C11" s="2">
        <v>89000</v>
      </c>
      <c r="D11" s="2">
        <v>112000</v>
      </c>
      <c r="F11" s="8">
        <v>0.573</v>
      </c>
      <c r="G11" s="2">
        <v>55700</v>
      </c>
      <c r="I11" s="8">
        <v>0.083</v>
      </c>
      <c r="J11" s="8">
        <v>0.328</v>
      </c>
      <c r="E11" s="7">
        <f>(D11-C11)/C11</f>
      </c>
      <c r="H11" s="7">
        <f>G11/C11</f>
      </c>
    </row>
    <row r="12" ht="17" customHeight="1">
      <c r="A12" s="0">
        <v>4</v>
      </c>
      <c r="B12" s="21" t="inlineStr">
        <is>
          <t>ASML Holding NV (ASML)</t>
        </is>
      </c>
      <c r="C12" s="2">
        <v>30200</v>
      </c>
      <c r="D12" s="2">
        <v>42000</v>
      </c>
      <c r="F12" s="8">
        <v>0.518</v>
      </c>
      <c r="G12" s="2">
        <v>11600</v>
      </c>
      <c r="I12" s="8">
        <v>0.152</v>
      </c>
      <c r="J12" s="8">
        <v>0.045</v>
      </c>
      <c r="E12" s="7">
        <f>(D12-C12)/C12</f>
      </c>
      <c r="H12" s="7">
        <f>G12/C12</f>
      </c>
    </row>
    <row r="13" ht="17" customHeight="1">
      <c r="A13" s="0">
        <v>5</v>
      </c>
      <c r="B13" s="21" t="inlineStr">
        <is>
          <t>Applied Materials (AMAT)</t>
        </is>
      </c>
      <c r="C13" s="2">
        <v>28000</v>
      </c>
      <c r="D13" s="2">
        <v>31500</v>
      </c>
      <c r="F13" s="8">
        <v>0.47</v>
      </c>
      <c r="G13" s="2">
        <v>9100</v>
      </c>
      <c r="I13" s="8">
        <v>0.118</v>
      </c>
      <c r="J13" s="8">
        <v>0.055</v>
      </c>
      <c r="E13" s="7">
        <f>(D13-C13)/C13</f>
      </c>
      <c r="H13" s="7">
        <f>G13/C13</f>
      </c>
    </row>
    <row r="14" ht="17" customHeight="1">
      <c r="A14" s="0">
        <v>6</v>
      </c>
      <c r="B14" s="21" t="inlineStr">
        <is>
          <t>KLA Corp (KLAC)</t>
        </is>
      </c>
      <c r="C14" s="2">
        <v>11800</v>
      </c>
      <c r="D14" s="2">
        <v>13500</v>
      </c>
      <c r="F14" s="8">
        <v>0.615</v>
      </c>
      <c r="G14" s="2">
        <v>5050</v>
      </c>
      <c r="I14" s="8">
        <v>0.128</v>
      </c>
      <c r="J14" s="8">
        <v>0.048</v>
      </c>
      <c r="E14" s="7">
        <f>(D14-C14)/C14</f>
      </c>
      <c r="H14" s="7">
        <f>G14/C14</f>
      </c>
    </row>
    <row r="15" ht="17" customHeight="1">
      <c r="A15" s="0">
        <v>7</v>
      </c>
      <c r="B15" s="21" t="inlineStr">
        <is>
          <t>Micron Technology (MU)</t>
        </is>
      </c>
      <c r="C15" s="2">
        <v>33000</v>
      </c>
      <c r="D15" s="2">
        <v>42000</v>
      </c>
      <c r="F15" s="8">
        <v>0.388</v>
      </c>
      <c r="G15" s="2">
        <v>13200</v>
      </c>
      <c r="I15" s="8">
        <v>0.105</v>
      </c>
      <c r="J15" s="8">
        <v>0.285</v>
      </c>
      <c r="E15" s="7">
        <f>(D15-C15)/C15</f>
      </c>
      <c r="H15" s="7">
        <f>G15/C15</f>
      </c>
    </row>
    <row r="17" ht="16" customHeight="1">
      <c r="B17" s="4" t="inlineStr">
        <is>
          <t>Max</t>
        </is>
      </c>
      <c r="C17" s="18">
        <f>MAX(C9:C15)</f>
      </c>
      <c r="D17" s="18">
        <f>MAX(D9:D15)</f>
      </c>
      <c r="E17" s="16">
        <f>MAX(E9:E15)</f>
      </c>
      <c r="F17" s="16">
        <f>MAX(F9:F15)</f>
      </c>
      <c r="G17" s="18">
        <f>MAX(G9:G15)</f>
      </c>
      <c r="H17" s="16">
        <f>MAX(H9:H15)</f>
      </c>
      <c r="I17" s="16">
        <f>MAX(I9:I15)</f>
      </c>
      <c r="J17" s="16">
        <f>MAX(J9:J15)</f>
      </c>
    </row>
    <row r="18" ht="16" customHeight="1">
      <c r="B18" s="4" t="inlineStr">
        <is>
          <t>75th Pct</t>
        </is>
      </c>
      <c r="C18" s="18">
        <f>PERCENTILE(C9:C15,0.75)</f>
      </c>
      <c r="D18" s="18">
        <f>PERCENTILE(D9:D15,0.75)</f>
      </c>
      <c r="E18" s="16">
        <f>PERCENTILE(E9:E15,0.75)</f>
      </c>
      <c r="F18" s="16">
        <f>PERCENTILE(F9:F15,0.75)</f>
      </c>
      <c r="G18" s="18">
        <f>PERCENTILE(G9:G15,0.75)</f>
      </c>
      <c r="H18" s="16">
        <f>PERCENTILE(H9:H15,0.75)</f>
      </c>
      <c r="I18" s="16">
        <f>PERCENTILE(I9:I15,0.75)</f>
      </c>
      <c r="J18" s="16">
        <f>PERCENTILE(J9:J15,0.75)</f>
      </c>
    </row>
    <row r="19" ht="16" customHeight="1">
      <c r="B19" s="4" t="inlineStr">
        <is>
          <t>Median</t>
        </is>
      </c>
      <c r="C19" s="18">
        <f>MEDIAN(C9:C15)</f>
      </c>
      <c r="D19" s="18">
        <f>MEDIAN(D9:D15)</f>
      </c>
      <c r="E19" s="16">
        <f>MEDIAN(E9:E15)</f>
      </c>
      <c r="F19" s="16">
        <f>MEDIAN(F9:F15)</f>
      </c>
      <c r="G19" s="18">
        <f>MEDIAN(G9:G15)</f>
      </c>
      <c r="H19" s="16">
        <f>MEDIAN(H9:H15)</f>
      </c>
      <c r="I19" s="16">
        <f>MEDIAN(I9:I15)</f>
      </c>
      <c r="J19" s="16">
        <f>MEDIAN(J9:J15)</f>
      </c>
    </row>
    <row r="20" ht="16" customHeight="1">
      <c r="B20" s="4" t="inlineStr">
        <is>
          <t>25th Pct</t>
        </is>
      </c>
      <c r="C20" s="18">
        <f>PERCENTILE(C9:C15,0.25)</f>
      </c>
      <c r="D20" s="18">
        <f>PERCENTILE(D9:D15,0.25)</f>
      </c>
      <c r="E20" s="16">
        <f>PERCENTILE(E9:E15,0.25)</f>
      </c>
      <c r="F20" s="16">
        <f>PERCENTILE(F9:F15,0.25)</f>
      </c>
      <c r="G20" s="18">
        <f>PERCENTILE(G9:G15,0.25)</f>
      </c>
      <c r="H20" s="16">
        <f>PERCENTILE(H9:H15,0.25)</f>
      </c>
      <c r="I20" s="16">
        <f>PERCENTILE(I9:I15,0.25)</f>
      </c>
      <c r="J20" s="16">
        <f>PERCENTILE(J9:J15,0.25)</f>
      </c>
    </row>
    <row r="21" ht="16" customHeight="1">
      <c r="B21" s="4" t="inlineStr">
        <is>
          <t>Min</t>
        </is>
      </c>
      <c r="C21" s="18">
        <f>MIN(C9:C15)</f>
      </c>
      <c r="D21" s="18">
        <f>MIN(D9:D15)</f>
      </c>
      <c r="E21" s="16">
        <f>MIN(E9:E15)</f>
      </c>
      <c r="F21" s="16">
        <f>MIN(F9:F15)</f>
      </c>
      <c r="G21" s="18">
        <f>MIN(G9:G15)</f>
      </c>
      <c r="H21" s="16">
        <f>MIN(H9:H15)</f>
      </c>
      <c r="I21" s="16">
        <f>MIN(I9:I15)</f>
      </c>
      <c r="J21" s="16">
        <f>MIN(J9:J15)</f>
      </c>
    </row>
    <row r="22" ht="8" customHeight="1"/>
    <row r="23" ht="18" customHeight="1">
      <c r="A23" s="3" t="inlineStr">
        <is>
          <t>SECTION 2 — VALUATION MULTIPLES (NTM)</t>
        </is>
      </c>
    </row>
    <row r="24" ht="30" customHeight="1">
      <c r="A24" s="4" t="inlineStr">
        <is>
          <t>#</t>
        </is>
      </c>
      <c r="B24" s="4" t="inlineStr">
        <is>
          <t>Company / Ticker</t>
        </is>
      </c>
      <c r="C24" s="4" t="inlineStr">
        <is>
          <t>Mkt Cap (USD Bn)</t>
        </is>
      </c>
      <c r="D24" s="4" t="inlineStr">
        <is>
          <t>Net Debt (USD Bn)</t>
        </is>
      </c>
      <c r="E24" s="4" t="inlineStr">
        <is>
          <t>EV (USD Bn)</t>
        </is>
      </c>
      <c r="F24" s="4" t="inlineStr">
        <is>
          <t>EV / NTM Rev</t>
        </is>
      </c>
      <c r="G24" s="4" t="inlineStr">
        <is>
          <t>EV / NTM EBITDA</t>
        </is>
      </c>
      <c r="H24" s="4" t="inlineStr">
        <is>
          <t>P / NTM EPS</t>
        </is>
      </c>
      <c r="I24" s="4" t="inlineStr">
        <is>
          <t>3-Yr Avg EV/EBITDA</t>
        </is>
      </c>
      <c r="J24" s="4" t="inlineStr">
        <is>
          <t>Prem/Disc 3-Yr Avg</t>
        </is>
      </c>
      <c r="K24" s="4" t="inlineStr">
        <is>
          <t>NTM EBITDA [Input]</t>
        </is>
      </c>
      <c r="L24" s="4" t="inlineStr">
        <is>
          <t>NTM EPS Growth [Input]</t>
        </is>
      </c>
    </row>
    <row r="25" ht="13" customHeight="1">
      <c r="A25" s="5" t="inlineStr">
        <is>
          <t/>
        </is>
      </c>
      <c r="B25" s="5" t="inlineStr">
        <is>
          <t/>
        </is>
      </c>
      <c r="C25" s="5" t="inlineStr">
        <is>
          <t>USD Bn</t>
        </is>
      </c>
      <c r="D25" s="5" t="inlineStr">
        <is>
          <t>USD Bn</t>
        </is>
      </c>
      <c r="E25" s="5" t="inlineStr">
        <is>
          <t>USD Bn</t>
        </is>
      </c>
      <c r="F25" s="5" t="inlineStr">
        <is>
          <t>x</t>
        </is>
      </c>
      <c r="G25" s="5" t="inlineStr">
        <is>
          <t>x</t>
        </is>
      </c>
      <c r="H25" s="5" t="inlineStr">
        <is>
          <t>$</t>
        </is>
      </c>
      <c r="I25" s="5" t="inlineStr">
        <is>
          <t>x</t>
        </is>
      </c>
      <c r="J25" s="5" t="inlineStr">
        <is>
          <t>%</t>
        </is>
      </c>
      <c r="K25" s="5" t="inlineStr">
        <is>
          <t>USD Mn</t>
        </is>
      </c>
      <c r="L25" s="5" t="inlineStr">
        <is>
          <t>%</t>
        </is>
      </c>
    </row>
    <row r="26" ht="17" customHeight="1">
      <c r="A26" s="0">
        <v>1</v>
      </c>
      <c r="B26" s="21" t="inlineStr">
        <is>
          <t>NVIDIA Corp (NVDA)</t>
        </is>
      </c>
      <c r="C26" s="13">
        <v>2800</v>
      </c>
      <c r="D26" s="13">
        <v>-26.0</v>
      </c>
      <c r="H26" s="14">
        <v>4.15</v>
      </c>
      <c r="I26" s="10">
        <v>55.0</v>
      </c>
      <c r="K26" s="2">
        <v>120000</v>
      </c>
      <c r="L26" s="8">
        <v>0.42</v>
      </c>
      <c r="E26" s="12">
        <f>(C26*1000+D26*1000)/1000</f>
      </c>
      <c r="F26" s="9">
        <f>(C26*1000+D26*1000)/D9</f>
      </c>
      <c r="G26" s="9">
        <f>(C26*1000+D26*1000)/K26</f>
      </c>
      <c r="J26" s="7">
        <f>G26/I26-1</f>
      </c>
    </row>
    <row r="27" ht="17" customHeight="1">
      <c r="A27" s="0">
        <v>2</v>
      </c>
      <c r="B27" s="21" t="inlineStr">
        <is>
          <t>Advanced Micro Devices (AMD)</t>
        </is>
      </c>
      <c r="C27" s="13">
        <v>195</v>
      </c>
      <c r="D27" s="13">
        <v>1.2</v>
      </c>
      <c r="H27" s="14">
        <v>5.6</v>
      </c>
      <c r="I27" s="10">
        <v>42.0</v>
      </c>
      <c r="K27" s="2">
        <v>9800</v>
      </c>
      <c r="L27" s="8">
        <v>0.38</v>
      </c>
      <c r="E27" s="12">
        <f>(C27*1000+D27*1000)/1000</f>
      </c>
      <c r="F27" s="9">
        <f>(C27*1000+D27*1000)/D10</f>
      </c>
      <c r="G27" s="9">
        <f>(C27*1000+D27*1000)/K27</f>
      </c>
      <c r="J27" s="7">
        <f>G27/I27-1</f>
      </c>
    </row>
    <row r="28" ht="17" customHeight="1">
      <c r="A28" s="0">
        <v>3</v>
      </c>
      <c r="B28" s="21" t="inlineStr">
        <is>
          <t>Taiwan Semiconductor Mfg (TSM)</t>
        </is>
      </c>
      <c r="C28" s="13">
        <v>920</v>
      </c>
      <c r="D28" s="13">
        <v>-50.0</v>
      </c>
      <c r="H28" s="14">
        <v>8.2</v>
      </c>
      <c r="I28" s="10">
        <v>18.0</v>
      </c>
      <c r="K28" s="2">
        <v>70000</v>
      </c>
      <c r="L28" s="8">
        <v>0.28</v>
      </c>
      <c r="E28" s="12">
        <f>(C28*1000+D28*1000)/1000</f>
      </c>
      <c r="F28" s="9">
        <f>(C28*1000+D28*1000)/D11</f>
      </c>
      <c r="G28" s="9">
        <f>(C28*1000+D28*1000)/K28</f>
      </c>
      <c r="J28" s="7">
        <f>G28/I28-1</f>
      </c>
    </row>
    <row r="29" ht="17" customHeight="1">
      <c r="A29" s="0">
        <v>4</v>
      </c>
      <c r="B29" s="21" t="inlineStr">
        <is>
          <t>ASML Holding NV (ASML)</t>
        </is>
      </c>
      <c r="C29" s="13">
        <v>280</v>
      </c>
      <c r="D29" s="13">
        <v>-8.5</v>
      </c>
      <c r="H29" s="14">
        <v>28.5</v>
      </c>
      <c r="I29" s="10">
        <v>34.0</v>
      </c>
      <c r="K29" s="2">
        <v>16500</v>
      </c>
      <c r="L29" s="8">
        <v>0.32</v>
      </c>
      <c r="E29" s="12">
        <f>(C29*1000+D29*1000)/1000</f>
      </c>
      <c r="F29" s="9">
        <f>(C29*1000+D29*1000)/D12</f>
      </c>
      <c r="G29" s="9">
        <f>(C29*1000+D29*1000)/K29</f>
      </c>
      <c r="J29" s="7">
        <f>G29/I29-1</f>
      </c>
    </row>
    <row r="30" ht="17" customHeight="1">
      <c r="A30" s="0">
        <v>5</v>
      </c>
      <c r="B30" s="21" t="inlineStr">
        <is>
          <t>Applied Materials (AMAT)</t>
        </is>
      </c>
      <c r="C30" s="13">
        <v>145</v>
      </c>
      <c r="D30" s="13">
        <v>2.8</v>
      </c>
      <c r="H30" s="14">
        <v>9.8</v>
      </c>
      <c r="I30" s="10">
        <v>19.5</v>
      </c>
      <c r="K30" s="2">
        <v>11200</v>
      </c>
      <c r="L30" s="8">
        <v>0.18</v>
      </c>
      <c r="E30" s="12">
        <f>(C30*1000+D30*1000)/1000</f>
      </c>
      <c r="F30" s="9">
        <f>(C30*1000+D30*1000)/D13</f>
      </c>
      <c r="G30" s="9">
        <f>(C30*1000+D30*1000)/K30</f>
      </c>
      <c r="J30" s="7">
        <f>G30/I30-1</f>
      </c>
    </row>
    <row r="31" ht="17" customHeight="1">
      <c r="A31" s="0">
        <v>6</v>
      </c>
      <c r="B31" s="21" t="inlineStr">
        <is>
          <t>KLA Corp (KLAC)</t>
        </is>
      </c>
      <c r="C31" s="13">
        <v>92</v>
      </c>
      <c r="D31" s="13">
        <v>4.1</v>
      </c>
      <c r="H31" s="14">
        <v>34.2</v>
      </c>
      <c r="I31" s="10">
        <v>23.0</v>
      </c>
      <c r="K31" s="2">
        <v>5900</v>
      </c>
      <c r="L31" s="8">
        <v>0.16</v>
      </c>
      <c r="E31" s="12">
        <f>(C31*1000+D31*1000)/1000</f>
      </c>
      <c r="F31" s="9">
        <f>(C31*1000+D31*1000)/D14</f>
      </c>
      <c r="G31" s="9">
        <f>(C31*1000+D31*1000)/K31</f>
      </c>
      <c r="J31" s="7">
        <f>G31/I31-1</f>
      </c>
    </row>
    <row r="32" ht="17" customHeight="1">
      <c r="A32" s="0">
        <v>7</v>
      </c>
      <c r="B32" s="21" t="inlineStr">
        <is>
          <t>Micron Technology (MU)</t>
        </is>
      </c>
      <c r="C32" s="13">
        <v>110</v>
      </c>
      <c r="D32" s="13">
        <v>8.5</v>
      </c>
      <c r="H32" s="14">
        <v>8.9</v>
      </c>
      <c r="I32" s="10">
        <v>12.5</v>
      </c>
      <c r="K32" s="2">
        <v>18500</v>
      </c>
      <c r="L32" s="8">
        <v>0.52</v>
      </c>
      <c r="E32" s="12">
        <f>(C32*1000+D32*1000)/1000</f>
      </c>
      <c r="F32" s="9">
        <f>(C32*1000+D32*1000)/D15</f>
      </c>
      <c r="G32" s="9">
        <f>(C32*1000+D32*1000)/K32</f>
      </c>
      <c r="J32" s="7">
        <f>G32/I32-1</f>
      </c>
    </row>
    <row r="34" ht="16" customHeight="1">
      <c r="B34" s="4" t="inlineStr">
        <is>
          <t>Max</t>
        </is>
      </c>
      <c r="C34" s="19">
        <f>MAX(C26:C32)</f>
      </c>
      <c r="D34" s="19">
        <f>MAX(D26:D32)</f>
      </c>
      <c r="E34" s="19">
        <f>MAX(E26:E32)</f>
      </c>
      <c r="F34" s="17">
        <f>MAX(F26:F32)</f>
      </c>
      <c r="G34" s="17">
        <f>MAX(G26:G32)</f>
      </c>
      <c r="H34" s="20">
        <f>MAX(H26:H32)</f>
      </c>
      <c r="I34" s="17">
        <f>MAX(I26:I32)</f>
      </c>
      <c r="J34" s="16">
        <f>MAX(J26:J32)</f>
      </c>
      <c r="L34" s="16">
        <f>MAX(L26:L32)</f>
      </c>
    </row>
    <row r="35" ht="16" customHeight="1">
      <c r="B35" s="4" t="inlineStr">
        <is>
          <t>75th Pct</t>
        </is>
      </c>
      <c r="C35" s="19">
        <f>PERCENTILE(C26:C32,0.75)</f>
      </c>
      <c r="D35" s="19">
        <f>PERCENTILE(D26:D32,0.75)</f>
      </c>
      <c r="E35" s="19">
        <f>PERCENTILE(E26:E32,0.75)</f>
      </c>
      <c r="F35" s="17">
        <f>PERCENTILE(F26:F32,0.75)</f>
      </c>
      <c r="G35" s="17">
        <f>PERCENTILE(G26:G32,0.75)</f>
      </c>
      <c r="H35" s="20">
        <f>PERCENTILE(H26:H32,0.75)</f>
      </c>
      <c r="I35" s="17">
        <f>PERCENTILE(I26:I32,0.75)</f>
      </c>
      <c r="J35" s="16">
        <f>PERCENTILE(J26:J32,0.75)</f>
      </c>
      <c r="L35" s="16">
        <f>PERCENTILE(L26:L32,0.75)</f>
      </c>
    </row>
    <row r="36" ht="16" customHeight="1">
      <c r="B36" s="4" t="inlineStr">
        <is>
          <t>Median</t>
        </is>
      </c>
      <c r="C36" s="19">
        <f>MEDIAN(C26:C32)</f>
      </c>
      <c r="D36" s="19">
        <f>MEDIAN(D26:D32)</f>
      </c>
      <c r="E36" s="19">
        <f>MEDIAN(E26:E32)</f>
      </c>
      <c r="F36" s="17">
        <f>MEDIAN(F26:F32)</f>
      </c>
      <c r="G36" s="17">
        <f>MEDIAN(G26:G32)</f>
      </c>
      <c r="H36" s="20">
        <f>MEDIAN(H26:H32)</f>
      </c>
      <c r="I36" s="17">
        <f>MEDIAN(I26:I32)</f>
      </c>
      <c r="J36" s="16">
        <f>MEDIAN(J26:J32)</f>
      </c>
      <c r="L36" s="16">
        <f>MEDIAN(L26:L32)</f>
      </c>
    </row>
    <row r="37" ht="16" customHeight="1">
      <c r="B37" s="4" t="inlineStr">
        <is>
          <t>25th Pct</t>
        </is>
      </c>
      <c r="C37" s="19">
        <f>PERCENTILE(C26:C32,0.25)</f>
      </c>
      <c r="D37" s="19">
        <f>PERCENTILE(D26:D32,0.25)</f>
      </c>
      <c r="E37" s="19">
        <f>PERCENTILE(E26:E32,0.25)</f>
      </c>
      <c r="F37" s="17">
        <f>PERCENTILE(F26:F32,0.25)</f>
      </c>
      <c r="G37" s="17">
        <f>PERCENTILE(G26:G32,0.25)</f>
      </c>
      <c r="H37" s="20">
        <f>PERCENTILE(H26:H32,0.25)</f>
      </c>
      <c r="I37" s="17">
        <f>PERCENTILE(I26:I32,0.25)</f>
      </c>
      <c r="J37" s="16">
        <f>PERCENTILE(J26:J32,0.25)</f>
      </c>
      <c r="L37" s="16">
        <f>PERCENTILE(L26:L32,0.25)</f>
      </c>
    </row>
    <row r="38" ht="16" customHeight="1">
      <c r="B38" s="4" t="inlineStr">
        <is>
          <t>Min</t>
        </is>
      </c>
      <c r="C38" s="19">
        <f>MIN(C26:C32)</f>
      </c>
      <c r="D38" s="19">
        <f>MIN(D26:D32)</f>
      </c>
      <c r="E38" s="19">
        <f>MIN(E26:E32)</f>
      </c>
      <c r="F38" s="17">
        <f>MIN(F26:F32)</f>
      </c>
      <c r="G38" s="17">
        <f>MIN(G26:G32)</f>
      </c>
      <c r="H38" s="20">
        <f>MIN(H26:H32)</f>
      </c>
      <c r="I38" s="17">
        <f>MIN(I26:I32)</f>
      </c>
      <c r="J38" s="16">
        <f>MIN(J26:J32)</f>
      </c>
      <c r="L38" s="16">
        <f>MIN(L26:L32)</f>
      </c>
    </row>
    <row r="41" ht="18" customHeight="1">
      <c r="A41" s="3" t="inlineStr">
        <is>
          <t>SENSITIVITY SUMMARY — Key NTM Multiples by Peer</t>
        </is>
      </c>
    </row>
    <row r="42" ht="17" customHeight="1">
      <c r="B42" s="4" t="inlineStr">
        <is>
          <t>Metric</t>
        </is>
      </c>
      <c r="C42" s="4" t="inlineStr">
        <is>
          <t>NVDA</t>
        </is>
      </c>
      <c r="D42" s="4" t="inlineStr">
        <is>
          <t>AMD</t>
        </is>
      </c>
      <c r="E42" s="4" t="inlineStr">
        <is>
          <t>TSM</t>
        </is>
      </c>
      <c r="F42" s="4" t="inlineStr">
        <is>
          <t>ASML</t>
        </is>
      </c>
      <c r="G42" s="4" t="inlineStr">
        <is>
          <t>AMAT</t>
        </is>
      </c>
      <c r="H42" s="4" t="inlineStr">
        <is>
          <t>KLAC</t>
        </is>
      </c>
      <c r="I42" s="4" t="inlineStr">
        <is>
          <t>MU</t>
        </is>
      </c>
    </row>
    <row r="43" ht="16" customHeight="1">
      <c r="B43" s="21" t="inlineStr">
        <is>
          <t>EV / NTM Revenue</t>
        </is>
      </c>
      <c r="C43" s="17">
        <f>F26</f>
      </c>
      <c r="D43" s="17">
        <f>F27</f>
      </c>
      <c r="E43" s="17">
        <f>F28</f>
      </c>
      <c r="F43" s="17">
        <f>F29</f>
      </c>
      <c r="G43" s="17">
        <f>F30</f>
      </c>
      <c r="H43" s="17">
        <f>F31</f>
      </c>
      <c r="I43" s="17">
        <f>F32</f>
      </c>
    </row>
    <row r="44" ht="16" customHeight="1">
      <c r="B44" s="21" t="inlineStr">
        <is>
          <t>EV / NTM EBITDA</t>
        </is>
      </c>
      <c r="C44" s="17">
        <f>G26</f>
      </c>
      <c r="D44" s="17">
        <f>G27</f>
      </c>
      <c r="E44" s="17">
        <f>G28</f>
      </c>
      <c r="F44" s="17">
        <f>G29</f>
      </c>
      <c r="G44" s="17">
        <f>G30</f>
      </c>
      <c r="H44" s="17">
        <f>G31</f>
      </c>
      <c r="I44" s="17">
        <f>G32</f>
      </c>
    </row>
    <row r="45" ht="16" customHeight="1">
      <c r="B45" s="21" t="inlineStr">
        <is>
          <t>NTM EPS Growth %</t>
        </is>
      </c>
      <c r="C45" s="16">
        <f>L26</f>
      </c>
      <c r="D45" s="16">
        <f>L27</f>
      </c>
      <c r="E45" s="16">
        <f>L28</f>
      </c>
      <c r="F45" s="16">
        <f>L29</f>
      </c>
      <c r="G45" s="16">
        <f>L30</f>
      </c>
      <c r="H45" s="16">
        <f>L31</f>
      </c>
      <c r="I45" s="16">
        <f>L32</f>
      </c>
    </row>
    <row r="46" ht="16" customHeight="1">
      <c r="B46" s="21" t="inlineStr">
        <is>
          <t>Prem/Disc 3-Yr Avg</t>
        </is>
      </c>
      <c r="C46" s="16">
        <f>J26</f>
      </c>
      <c r="D46" s="16">
        <f>J27</f>
      </c>
      <c r="E46" s="16">
        <f>J28</f>
      </c>
      <c r="F46" s="16">
        <f>J29</f>
      </c>
      <c r="G46" s="16">
        <f>J30</f>
      </c>
      <c r="H46" s="16">
        <f>J31</f>
      </c>
      <c r="I46" s="16">
        <f>J32</f>
      </c>
    </row>
  </sheetData>
  <mergeCells>
    <mergeCell ref="A1:L1"/>
    <mergeCell ref="A2:L2"/>
    <mergeCell ref="A3:L3"/>
    <mergeCell ref="A4:L4"/>
    <mergeCell ref="A6:L6"/>
    <mergeCell ref="A23:L23"/>
    <mergeCell ref="A41:L41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4" customWidth="1"/>
    <col min="2" max="2" width="30" customWidth="1"/>
    <col min="3" max="3" width="70" customWidth="1"/>
    <col min="4" max="4" width="30" customWidth="1"/>
  </cols>
  <sheetData>
    <row r="1" ht="22" customHeight="1">
      <c r="A1" s="1" t="inlineStr">
        <is>
          <t>MODEL DOCUMENTATION &amp; SOURCE NOTES</t>
        </is>
      </c>
    </row>
    <row r="2" ht="50" customHeight="1">
      <c r="A2" s="6" t="inlineStr">
        <is>
          <t>ALL DATA IS [UNSOURCED] — Placeholder estimates from public earnings transcripts, management guidance, sell-side consensus summaries (~Q1 2026). MANDATORY: Replace every blue cell with FactSet/CapIQ verified data before distribution.</t>
        </is>
      </c>
    </row>
    <row r="3" ht="18" customHeight="1">
      <c r="A3" s="4" t="inlineStr">
        <is>
          <t>#</t>
        </is>
      </c>
      <c r="B3" s="4" t="inlineStr">
        <is>
          <t>Field / Item</t>
        </is>
      </c>
      <c r="C3" s="4" t="inlineStr">
        <is>
          <t>Note / Source</t>
        </is>
      </c>
      <c r="D3" s="4" t="inlineStr">
        <is>
          <t>Verification Required</t>
        </is>
      </c>
    </row>
    <row r="4" ht="35" customHeight="1">
      <c r="A4" s="5" t="inlineStr">
        <is>
          <t>1</t>
        </is>
      </c>
      <c r="B4" s="4" t="inlineStr">
        <is>
          <t>Analysis Date</t>
        </is>
      </c>
      <c r="C4" s="0" t="inlineStr">
        <is>
          <t>2026-05-13. All market data proxied to this date.</t>
        </is>
      </c>
      <c r="D4" s="0" t="inlineStr">
        <is>
          <t>Confirm data vintage matches analysis date.</t>
        </is>
      </c>
    </row>
    <row r="5" ht="35" customHeight="1">
      <c r="A5" s="5" t="inlineStr">
        <is>
          <t>2</t>
        </is>
      </c>
      <c r="B5" s="4" t="inlineStr">
        <is>
          <t>LTM Revenue</t>
        </is>
      </c>
      <c r="C5" s="0" t="inlineStr">
        <is>
          <t>Trailing-twelve-month revenue per company fiscal calendar. NVDA FY Jan; others as noted. Source: earnings transcripts / press releases ~Q1 2026.</t>
        </is>
      </c>
      <c r="D5" s="6" t="inlineStr">
        <is>
          <t>[UNSOURCED] — pull FactSet FA.Sales.LTM</t>
        </is>
      </c>
    </row>
    <row r="6" ht="35" customHeight="1">
      <c r="A6" s="5" t="inlineStr">
        <is>
          <t>3</t>
        </is>
      </c>
      <c r="B6" s="4" t="inlineStr">
        <is>
          <t>NTM Revenue</t>
        </is>
      </c>
      <c r="C6" s="0" t="inlineStr">
        <is>
          <t>Next-twelve-month consensus estimate. No live data provider. Reflects broad Street as of ~May 2026.</t>
        </is>
      </c>
      <c r="D6" s="6" t="inlineStr">
        <is>
          <t>[UNSOURCED] — pull CapIQ NTM consensus</t>
        </is>
      </c>
    </row>
    <row r="7" ht="35" customHeight="1">
      <c r="A7" s="5" t="inlineStr">
        <is>
          <t>4</t>
        </is>
      </c>
      <c r="B7" s="4" t="inlineStr">
        <is>
          <t>Gross Margin %</t>
        </is>
      </c>
      <c r="C7" s="0" t="inlineStr">
        <is>
          <t>LTM GAAP gross margin. NVDA/AMD: non-GAAP variant excludes acq. amortisation. Specify GAAP vs non-GAAP consistently.</t>
        </is>
      </c>
      <c r="D7" s="6" t="inlineStr">
        <is>
          <t>[UNSOURCED] — verify 10-K/20-F filings</t>
        </is>
      </c>
    </row>
    <row r="8" ht="35" customHeight="1">
      <c r="A8" s="5" t="inlineStr">
        <is>
          <t>5</t>
        </is>
      </c>
      <c r="B8" s="4" t="inlineStr">
        <is>
          <t>LTM EBITDA</t>
        </is>
      </c>
      <c r="C8" s="0" t="inlineStr">
        <is>
          <t>Adjusted EBITDA. Excludes SBC for NVDA/AMD where mgmt references non-GAAP EBITDA. TSM ~32 TWD/USD; ASML ~1.08 EUR/USD. FX rates [UNSOURCED].</t>
        </is>
      </c>
      <c r="D8" s="6" t="inlineStr">
        <is>
          <t>[UNSOURCED] — FactSet FA.EBITDA.LTM; verify FX</t>
        </is>
      </c>
    </row>
    <row r="9" ht="35" customHeight="1">
      <c r="A9" s="5" t="inlineStr">
        <is>
          <t>6</t>
        </is>
      </c>
      <c r="B9" s="4" t="inlineStr">
        <is>
          <t>R&amp;D % Revenue</t>
        </is>
      </c>
      <c r="C9" s="0" t="inlineStr">
        <is>
          <t>R&amp;D expense / LTM revenue. ASML includes combined R&amp;D and design-in costs.</t>
        </is>
      </c>
      <c r="D9" s="6" t="inlineStr">
        <is>
          <t>[UNSOURCED] — 10-K/20-F/annual report</t>
        </is>
      </c>
    </row>
    <row r="10" ht="35" customHeight="1">
      <c r="A10" s="5" t="inlineStr">
        <is>
          <t>7</t>
        </is>
      </c>
      <c r="B10" s="4" t="inlineStr">
        <is>
          <t>CapEx % Revenue</t>
        </is>
      </c>
      <c r="C10" s="0" t="inlineStr">
        <is>
          <t>CapEx / LTM revenue. TSM and MU reflect high foundry/memory capex cycles; NVDA low (fabless).</t>
        </is>
      </c>
      <c r="D10" s="6" t="inlineStr">
        <is>
          <t>[UNSOURCED] — FactSet FA.CapEx.LTM / FA.Sales.LTM</t>
        </is>
      </c>
    </row>
    <row r="11" ht="35" customHeight="1">
      <c r="A11" s="5" t="inlineStr">
        <is>
          <t>8</t>
        </is>
      </c>
      <c r="B11" s="4" t="inlineStr">
        <is>
          <t>Market Cap (USD Bn)</t>
        </is>
      </c>
      <c r="C11" s="0" t="inlineStr">
        <is>
          <t>Approx mkt cap as of 2026-05-13. NVDA ~$2,800 Bn. All rough order-of-magnitude; must be refreshed.</t>
        </is>
      </c>
      <c r="D11" s="6" t="inlineStr">
        <is>
          <t>[UNSOURCED] — FactSet or Bloomberg MKTCAP</t>
        </is>
      </c>
    </row>
    <row r="12" ht="35" customHeight="1">
      <c r="A12" s="5" t="inlineStr">
        <is>
          <t>9</t>
        </is>
      </c>
      <c r="B12" s="4" t="inlineStr">
        <is>
          <t>Net Debt (USD Bn)</t>
        </is>
      </c>
      <c r="C12" s="0" t="inlineStr">
        <is>
          <t>Net debt = Total debt - Cash. Negative = net cash. NVDA, TSM, ASML, KLAC net cash. MU/AMAT modest leverage.</t>
        </is>
      </c>
      <c r="D12" s="6" t="inlineStr">
        <is>
          <t>[UNSOURCED] — FactSet BS.NetDebt</t>
        </is>
      </c>
    </row>
    <row r="13" ht="35" customHeight="1">
      <c r="A13" s="5" t="inlineStr">
        <is>
          <t>10</t>
        </is>
      </c>
      <c r="B13" s="4" t="inlineStr">
        <is>
          <t>NTM EBITDA (col K)</t>
        </is>
      </c>
      <c r="C13" s="0" t="inlineStr">
        <is>
          <t>NTM EBITDA consensus. Blue helper-column input. Drives EV/NTM EBITDA formula in col G.</t>
        </is>
      </c>
      <c r="D13" s="6" t="inlineStr">
        <is>
          <t>[UNSOURCED] — CapIQ NTM EBITDA consensus</t>
        </is>
      </c>
    </row>
    <row r="14" ht="35" customHeight="1">
      <c r="A14" s="5" t="inlineStr">
        <is>
          <t>11</t>
        </is>
      </c>
      <c r="B14" s="4" t="inlineStr">
        <is>
          <t>NTM EPS (col H)</t>
        </is>
      </c>
      <c r="C14" s="0" t="inlineStr">
        <is>
          <t>NTM EPS. Non-GAAP for NVDA/AMD (Street convention). Stored as blue input; P/E derives if diluted share count added.</t>
        </is>
      </c>
      <c r="D14" s="6" t="inlineStr">
        <is>
          <t>[UNSOURCED] — CapIQ/Bloomberg NTM EPS</t>
        </is>
      </c>
    </row>
    <row r="15" ht="35" customHeight="1">
      <c r="A15" s="5" t="inlineStr">
        <is>
          <t>12</t>
        </is>
      </c>
      <c r="B15" s="4" t="inlineStr">
        <is>
          <t>NTM EPS Growth (col L)</t>
        </is>
      </c>
      <c r="C15" s="0" t="inlineStr">
        <is>
          <t>YoY EPS growth LTM-&gt;NTM. MU ~52% reflects memory cycle recovery. All consensus-derived.</t>
        </is>
      </c>
      <c r="D15" s="6" t="inlineStr">
        <is>
          <t>[UNSOURCED] — CapIQ LTM and NTM EPS</t>
        </is>
      </c>
    </row>
    <row r="16" ht="35" customHeight="1">
      <c r="A16" s="5" t="inlineStr">
        <is>
          <t>13</t>
        </is>
      </c>
      <c r="B16" s="4" t="inlineStr">
        <is>
          <t>3-Year Avg EV/EBITDA</t>
        </is>
      </c>
      <c r="C16" s="0" t="inlineStr">
        <is>
          <t>Historical avg EV/NTM EBITDA over prior 3 fiscal years. NVDA ~55x reflects post-ChatGPT re-rating (pre-AI avg ~25-30x). All rough estimates.</t>
        </is>
      </c>
      <c r="D16" s="6" t="inlineStr">
        <is>
          <t>[UNSOURCED] — FactSet historical EV/EBITDA time series</t>
        </is>
      </c>
    </row>
    <row r="17" ht="35" customHeight="1">
      <c r="A17" s="5" t="inlineStr">
        <is>
          <t>14</t>
        </is>
      </c>
      <c r="B17" s="4" t="inlineStr">
        <is>
          <t>EV Formula</t>
        </is>
      </c>
      <c r="C17" s="0" t="inlineStr">
        <is>
          <t>EV (USD Bn) = Mkt Cap (Bn) + Net Debt (Bn). All EV cells are formula-driven (no hardcodes). Minority interest / preferred not modelled separately.</t>
        </is>
      </c>
      <c r="D17" s="0" t="inlineStr">
        <is>
          <t>Verify EV bridge completeness per issuer</t>
        </is>
      </c>
    </row>
    <row r="18" ht="35" customHeight="1">
      <c r="A18" s="5" t="inlineStr">
        <is>
          <t>15</t>
        </is>
      </c>
      <c r="B18" s="4" t="inlineStr">
        <is>
          <t>Currency</t>
        </is>
      </c>
      <c r="C18" s="0" t="inlineStr">
        <is>
          <t>TSM: ~32 TWD/USD. ASML: ~1.08 EUR/USD. All others USD. FX rates [UNSOURCED]; use spot from analysis date.</t>
        </is>
      </c>
      <c r="D18" s="6" t="inlineStr">
        <is>
          <t>[UNSOURCED] FX — use FactSet spot rates</t>
        </is>
      </c>
    </row>
    <row r="19" ht="35" customHeight="1">
      <c r="A19" s="5" t="inlineStr">
        <is>
          <t>16</t>
        </is>
      </c>
      <c r="B19" s="4" t="inlineStr">
        <is>
          <t>Color Coding</t>
        </is>
      </c>
      <c r="C19" s="0" t="inlineStr">
        <is>
          <t>BLUE = hardcoded inputs (cell comments indicate source/flag). BLACK = formula outputs (no hardcoded numbers). GREEN header = helper input columns K/L.</t>
        </is>
      </c>
      <c r="D19" s="0" t="inlineStr">
        <is>
          <t>Audit: no hardcodes in formula cells</t>
        </is>
      </c>
    </row>
    <row r="20" ht="35" customHeight="1">
      <c r="A20" s="5" t="inlineStr">
        <is>
          <t>17</t>
        </is>
      </c>
      <c r="B20" s="4" t="inlineStr">
        <is>
          <t>Circular References</t>
        </is>
      </c>
      <c r="C20" s="0" t="inlineStr">
        <is>
          <t>None intentional. All flows: blue input -&gt; black formula output.</t>
        </is>
      </c>
      <c r="D20" s="0" t="inlineStr">
        <is>
          <t>Excel: Formulas &gt; Error Checking &gt; Circular References</t>
        </is>
      </c>
    </row>
    <row r="21" ht="35" customHeight="1">
      <c r="A21" s="5" t="inlineStr">
        <is>
          <t>18</t>
        </is>
      </c>
      <c r="B21" s="4" t="inlineStr">
        <is>
          <t>Statistical Summary</t>
        </is>
      </c>
      <c r="C21" s="0" t="inlineStr">
        <is>
          <t>MAX/PERCENTILE(0.75)/MEDIAN/PERCENTILE(0.25)/MIN over 7-peer range. All formula-driven.</t>
        </is>
      </c>
      <c r="D21" s="0" t="inlineStr">
        <is>
          <t>Adjust range if peer set changes</t>
        </is>
      </c>
    </row>
    <row r="22" ht="35" customHeight="1">
      <c r="A22" s="5" t="inlineStr">
        <is>
          <t>19</t>
        </is>
      </c>
      <c r="B22" s="4" t="inlineStr">
        <is>
          <t>Model Purpose</t>
        </is>
      </c>
      <c r="C22" s="0" t="inlineStr">
        <is>
          <t>Cycle positioning and relative valuation for AI semiconductor equity research note. NOT for investment decisions without verified data.</t>
        </is>
      </c>
      <c r="D22" s="6" t="inlineStr">
        <is>
          <t>Replace all [UNSOURCED] before publication</t>
        </is>
      </c>
    </row>
  </sheetData>
  <mergeCells>
    <mergeCell ref="A1:D1"/>
    <mergeCell ref="A2:D2"/>
  </mergeCells>
</worksheet>
</file>